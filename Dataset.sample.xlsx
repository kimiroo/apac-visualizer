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yongj\Desktop\jeeeeeeeeee\"/>
    </mc:Choice>
  </mc:AlternateContent>
  <xr:revisionPtr revIDLastSave="0" documentId="13_ncr:1_{10BB3CF4-9E9E-4D9E-ACC4-763FFF4B209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Region Vertical Overview" sheetId="1" r:id="rId1"/>
    <sheet name="Dealer List" sheetId="2" r:id="rId2"/>
    <sheet name="Key Account Lis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19" i="1" l="1"/>
  <c r="AQ19" i="1"/>
  <c r="AP19" i="1"/>
  <c r="AO19" i="1"/>
  <c r="AN19" i="1"/>
  <c r="AM19" i="1"/>
  <c r="AR18" i="1"/>
  <c r="AQ18" i="1"/>
  <c r="AP18" i="1"/>
  <c r="AO18" i="1"/>
  <c r="AN18" i="1"/>
  <c r="AM18" i="1"/>
  <c r="AR17" i="1"/>
  <c r="AQ17" i="1"/>
  <c r="AP17" i="1"/>
  <c r="AO17" i="1"/>
  <c r="AN17" i="1"/>
  <c r="AM17" i="1"/>
  <c r="AR16" i="1"/>
  <c r="AQ16" i="1"/>
  <c r="AP16" i="1"/>
  <c r="AO16" i="1"/>
  <c r="AN16" i="1"/>
  <c r="AM16" i="1"/>
  <c r="AR15" i="1"/>
  <c r="AQ15" i="1"/>
  <c r="AP15" i="1"/>
  <c r="AO15" i="1"/>
  <c r="AN15" i="1"/>
  <c r="AM15" i="1"/>
  <c r="AR14" i="1"/>
  <c r="AQ14" i="1"/>
  <c r="AP14" i="1"/>
  <c r="AO14" i="1"/>
  <c r="AN14" i="1"/>
  <c r="AM14" i="1"/>
  <c r="AR13" i="1"/>
  <c r="AQ13" i="1"/>
  <c r="AP13" i="1"/>
  <c r="AO13" i="1"/>
  <c r="AN13" i="1"/>
  <c r="AM13" i="1"/>
  <c r="AR12" i="1"/>
  <c r="AQ12" i="1"/>
  <c r="AP12" i="1"/>
  <c r="AO12" i="1"/>
  <c r="AN12" i="1"/>
  <c r="AM12" i="1"/>
  <c r="AR11" i="1"/>
  <c r="AQ11" i="1"/>
  <c r="AP11" i="1"/>
  <c r="AO11" i="1"/>
  <c r="AN11" i="1"/>
  <c r="AM11" i="1"/>
  <c r="AR10" i="1"/>
  <c r="AQ10" i="1"/>
  <c r="AP10" i="1"/>
  <c r="AO10" i="1"/>
  <c r="AN10" i="1"/>
  <c r="AM10" i="1"/>
  <c r="AR9" i="1"/>
  <c r="AQ9" i="1"/>
  <c r="AP9" i="1"/>
  <c r="AO9" i="1"/>
  <c r="AN9" i="1"/>
  <c r="AM9" i="1"/>
  <c r="AR8" i="1"/>
  <c r="AQ8" i="1"/>
  <c r="AP8" i="1"/>
  <c r="AO8" i="1"/>
  <c r="AN8" i="1"/>
  <c r="AM8" i="1"/>
  <c r="AR7" i="1"/>
  <c r="AQ7" i="1"/>
  <c r="AP7" i="1"/>
  <c r="AO7" i="1"/>
  <c r="AN7" i="1"/>
  <c r="AM7" i="1"/>
  <c r="AR6" i="1"/>
  <c r="AQ6" i="1"/>
  <c r="AP6" i="1"/>
  <c r="AO6" i="1"/>
  <c r="AN6" i="1"/>
  <c r="AM6" i="1"/>
  <c r="AR5" i="1"/>
  <c r="AQ5" i="1"/>
  <c r="AP5" i="1"/>
  <c r="AO5" i="1"/>
  <c r="AN5" i="1"/>
  <c r="AM5" i="1"/>
  <c r="AR4" i="1"/>
  <c r="AQ4" i="1"/>
  <c r="AP4" i="1"/>
  <c r="AO4" i="1"/>
  <c r="AN4" i="1"/>
  <c r="AM4" i="1"/>
  <c r="AR3" i="1"/>
  <c r="AQ3" i="1"/>
  <c r="AP3" i="1"/>
  <c r="AO3" i="1"/>
  <c r="AN3" i="1"/>
  <c r="AM3" i="1"/>
</calcChain>
</file>

<file path=xl/sharedStrings.xml><?xml version="1.0" encoding="utf-8"?>
<sst xmlns="http://schemas.openxmlformats.org/spreadsheetml/2006/main" count="150" uniqueCount="70">
  <si>
    <t>F&amp;B</t>
  </si>
  <si>
    <t>Heavy Industry</t>
  </si>
  <si>
    <t>Chemical/Pharma</t>
  </si>
  <si>
    <t>Electronics</t>
  </si>
  <si>
    <t>Mobility</t>
  </si>
  <si>
    <t>Others</t>
  </si>
  <si>
    <t>Total</t>
  </si>
  <si>
    <t>Plant Count</t>
  </si>
  <si>
    <t>Dealer Count</t>
  </si>
  <si>
    <t>Projected Dealer Revenue</t>
  </si>
  <si>
    <t>Actual Dealer Revenue</t>
  </si>
  <si>
    <t>Potential Market Value</t>
  </si>
  <si>
    <t>Total Market Value</t>
  </si>
  <si>
    <t>Busan</t>
  </si>
  <si>
    <t>Chungcheongbuk-do</t>
  </si>
  <si>
    <t>Chungcheongnam-do</t>
  </si>
  <si>
    <t>Daegu</t>
  </si>
  <si>
    <t>Daejeon</t>
  </si>
  <si>
    <t>Gangwon-do</t>
  </si>
  <si>
    <t>Gwangju</t>
  </si>
  <si>
    <t>Incheon</t>
  </si>
  <si>
    <t>Jeju</t>
  </si>
  <si>
    <t>Jeollabuk-do</t>
  </si>
  <si>
    <t>Jeollanam-do</t>
  </si>
  <si>
    <t>Sejong</t>
  </si>
  <si>
    <t>Ulsan</t>
  </si>
  <si>
    <t>Seoul</t>
  </si>
  <si>
    <t>Area</t>
    <phoneticPr fontId="1" type="noConversion"/>
  </si>
  <si>
    <t>Country</t>
  </si>
  <si>
    <t>Country</t>
    <phoneticPr fontId="1" type="noConversion"/>
  </si>
  <si>
    <t>Sales Organization</t>
  </si>
  <si>
    <t>Partner ID</t>
    <phoneticPr fontId="1" type="noConversion"/>
  </si>
  <si>
    <t>Partner Name</t>
    <phoneticPr fontId="1" type="noConversion"/>
  </si>
  <si>
    <t>2026 Tier</t>
    <phoneticPr fontId="1" type="noConversion"/>
  </si>
  <si>
    <t>Profile</t>
    <phoneticPr fontId="1" type="noConversion"/>
  </si>
  <si>
    <t>Location</t>
    <phoneticPr fontId="1" type="noConversion"/>
  </si>
  <si>
    <t>Latitude</t>
    <phoneticPr fontId="1" type="noConversion"/>
  </si>
  <si>
    <t>Longtitude</t>
    <phoneticPr fontId="1" type="noConversion"/>
  </si>
  <si>
    <t>Projected Revenue</t>
    <phoneticPr fontId="1" type="noConversion"/>
  </si>
  <si>
    <t>Actual Revenue</t>
    <phoneticPr fontId="1" type="noConversion"/>
  </si>
  <si>
    <t>F&amp;B</t>
    <phoneticPr fontId="1" type="noConversion"/>
  </si>
  <si>
    <t>Heavy Industry</t>
    <phoneticPr fontId="1" type="noConversion"/>
  </si>
  <si>
    <t>Chemical/Pharma</t>
    <phoneticPr fontId="1" type="noConversion"/>
  </si>
  <si>
    <t>Electronics</t>
    <phoneticPr fontId="1" type="noConversion"/>
  </si>
  <si>
    <t>Mobility</t>
    <phoneticPr fontId="1" type="noConversion"/>
  </si>
  <si>
    <t>East</t>
  </si>
  <si>
    <t>South Korea</t>
  </si>
  <si>
    <t>GPK</t>
  </si>
  <si>
    <t>MYUNG SUNG GTI</t>
  </si>
  <si>
    <t>Probation</t>
  </si>
  <si>
    <t>Sales Partner</t>
  </si>
  <si>
    <t>GP ENG</t>
  </si>
  <si>
    <t>Certified</t>
  </si>
  <si>
    <t>Solution Partner</t>
  </si>
  <si>
    <t>SAMYANG ENG</t>
  </si>
  <si>
    <t>Elite</t>
  </si>
  <si>
    <t>INHWA MEC</t>
  </si>
  <si>
    <t>Japangu</t>
  </si>
  <si>
    <t>Naruto ENG</t>
  </si>
  <si>
    <t>Heavy industry</t>
  </si>
  <si>
    <t>Region</t>
  </si>
  <si>
    <t>Region</t>
    <phoneticPr fontId="1" type="noConversion"/>
  </si>
  <si>
    <t>South Korea</t>
    <phoneticPr fontId="1" type="noConversion"/>
  </si>
  <si>
    <t>Account Name</t>
    <phoneticPr fontId="1" type="noConversion"/>
  </si>
  <si>
    <t>Vertical</t>
    <phoneticPr fontId="1" type="noConversion"/>
  </si>
  <si>
    <t>Gyeonggi-do</t>
    <phoneticPr fontId="1" type="noConversion"/>
  </si>
  <si>
    <t>LGE</t>
    <phoneticPr fontId="1" type="noConversion"/>
  </si>
  <si>
    <t>SEC</t>
    <phoneticPr fontId="1" type="noConversion"/>
  </si>
  <si>
    <t>Gyeongsangbuk-do</t>
    <phoneticPr fontId="1" type="noConversion"/>
  </si>
  <si>
    <t>Gyeongsangnam-do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</si>
</sst>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_-\$* #,##0.00_ ;_-\$* \-#,##0.00\ ;_-\$* &quot;-&quot;??_ ;_-@_ "/>
    <numFmt numFmtId="178" formatCode="0.00000000_ 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/>
    <xf numFmtId="178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9"/>
  <sheetViews>
    <sheetView tabSelected="1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C3" sqref="C3"/>
    </sheetView>
  </sheetViews>
  <sheetFormatPr defaultRowHeight="16.5" x14ac:dyDescent="0.3"/>
  <cols>
    <col min="2" max="2" width="9" style="3" customWidth="1"/>
    <col min="3" max="4" width="9" style="1" customWidth="1"/>
    <col min="5" max="8" width="9" style="2" customWidth="1"/>
    <col min="9" max="10" width="9" style="1" customWidth="1"/>
    <col min="11" max="14" width="9" style="2" customWidth="1"/>
    <col min="15" max="16" width="9" style="1" customWidth="1"/>
    <col min="17" max="20" width="9" style="2" customWidth="1"/>
    <col min="21" max="22" width="9" style="1" customWidth="1"/>
    <col min="23" max="26" width="9" style="2" customWidth="1"/>
    <col min="27" max="28" width="9" style="1" customWidth="1"/>
    <col min="29" max="32" width="9" style="2" customWidth="1"/>
    <col min="33" max="34" width="9" style="1" customWidth="1"/>
    <col min="35" max="38" width="9" style="2" customWidth="1"/>
    <col min="39" max="40" width="9" style="1" customWidth="1"/>
    <col min="41" max="44" width="9" style="2" customWidth="1"/>
  </cols>
  <sheetData>
    <row r="1" spans="1:44" s="3" customFormat="1" x14ac:dyDescent="0.3">
      <c r="C1" s="6" t="s">
        <v>0</v>
      </c>
      <c r="D1" s="7"/>
      <c r="E1" s="7"/>
      <c r="F1" s="7"/>
      <c r="G1" s="7"/>
      <c r="H1" s="7"/>
      <c r="I1" s="6" t="s">
        <v>1</v>
      </c>
      <c r="J1" s="7"/>
      <c r="K1" s="7"/>
      <c r="L1" s="7"/>
      <c r="M1" s="7"/>
      <c r="N1" s="7"/>
      <c r="O1" s="6" t="s">
        <v>2</v>
      </c>
      <c r="P1" s="7"/>
      <c r="Q1" s="7"/>
      <c r="R1" s="7"/>
      <c r="S1" s="7"/>
      <c r="T1" s="7"/>
      <c r="U1" s="6" t="s">
        <v>3</v>
      </c>
      <c r="V1" s="7"/>
      <c r="W1" s="7"/>
      <c r="X1" s="7"/>
      <c r="Y1" s="7"/>
      <c r="Z1" s="7"/>
      <c r="AA1" s="6" t="s">
        <v>4</v>
      </c>
      <c r="AB1" s="7"/>
      <c r="AC1" s="7"/>
      <c r="AD1" s="7"/>
      <c r="AE1" s="7"/>
      <c r="AF1" s="7"/>
      <c r="AG1" s="6" t="s">
        <v>5</v>
      </c>
      <c r="AH1" s="7"/>
      <c r="AI1" s="7"/>
      <c r="AJ1" s="7"/>
      <c r="AK1" s="7"/>
      <c r="AL1" s="7"/>
      <c r="AM1" s="6" t="s">
        <v>6</v>
      </c>
      <c r="AN1" s="7"/>
      <c r="AO1" s="7"/>
      <c r="AP1" s="7"/>
      <c r="AQ1" s="7"/>
      <c r="AR1" s="7"/>
    </row>
    <row r="2" spans="1:44" s="3" customFormat="1" x14ac:dyDescent="0.3">
      <c r="A2" s="3" t="s">
        <v>29</v>
      </c>
      <c r="B2" s="3" t="s">
        <v>61</v>
      </c>
      <c r="C2" s="3" t="s">
        <v>7</v>
      </c>
      <c r="D2" s="3" t="s">
        <v>8</v>
      </c>
      <c r="E2" s="3" t="s">
        <v>9</v>
      </c>
      <c r="F2" s="3" t="s">
        <v>10</v>
      </c>
      <c r="G2" s="3" t="s">
        <v>11</v>
      </c>
      <c r="H2" s="3" t="s">
        <v>12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  <c r="O2" s="3" t="s">
        <v>7</v>
      </c>
      <c r="P2" s="3" t="s">
        <v>8</v>
      </c>
      <c r="Q2" s="3" t="s">
        <v>9</v>
      </c>
      <c r="R2" s="3" t="s">
        <v>10</v>
      </c>
      <c r="S2" s="3" t="s">
        <v>11</v>
      </c>
      <c r="T2" s="3" t="s">
        <v>12</v>
      </c>
      <c r="U2" s="3" t="s">
        <v>7</v>
      </c>
      <c r="V2" s="3" t="s">
        <v>8</v>
      </c>
      <c r="W2" s="3" t="s">
        <v>9</v>
      </c>
      <c r="X2" s="3" t="s">
        <v>10</v>
      </c>
      <c r="Y2" s="3" t="s">
        <v>11</v>
      </c>
      <c r="Z2" s="3" t="s">
        <v>12</v>
      </c>
      <c r="AA2" s="3" t="s">
        <v>7</v>
      </c>
      <c r="AB2" s="3" t="s">
        <v>8</v>
      </c>
      <c r="AC2" s="3" t="s">
        <v>9</v>
      </c>
      <c r="AD2" s="3" t="s">
        <v>10</v>
      </c>
      <c r="AE2" s="3" t="s">
        <v>11</v>
      </c>
      <c r="AF2" s="3" t="s">
        <v>12</v>
      </c>
      <c r="AG2" s="3" t="s">
        <v>7</v>
      </c>
      <c r="AH2" s="3" t="s">
        <v>8</v>
      </c>
      <c r="AI2" s="3" t="s">
        <v>9</v>
      </c>
      <c r="AJ2" s="3" t="s">
        <v>10</v>
      </c>
      <c r="AK2" s="3" t="s">
        <v>11</v>
      </c>
      <c r="AL2" s="3" t="s">
        <v>12</v>
      </c>
      <c r="AM2" s="3" t="s">
        <v>7</v>
      </c>
      <c r="AN2" s="3" t="s">
        <v>8</v>
      </c>
      <c r="AO2" s="3" t="s">
        <v>9</v>
      </c>
      <c r="AP2" s="3" t="s">
        <v>10</v>
      </c>
      <c r="AQ2" s="3" t="s">
        <v>11</v>
      </c>
      <c r="AR2" s="3" t="s">
        <v>12</v>
      </c>
    </row>
    <row r="3" spans="1:44" x14ac:dyDescent="0.3">
      <c r="A3" t="s">
        <v>62</v>
      </c>
      <c r="B3" s="4" t="s">
        <v>13</v>
      </c>
      <c r="C3" s="1">
        <v>42</v>
      </c>
      <c r="D3" s="1">
        <v>19</v>
      </c>
      <c r="E3" s="2">
        <v>202071164</v>
      </c>
      <c r="F3" s="2">
        <v>187045243</v>
      </c>
      <c r="G3" s="2">
        <v>42738165</v>
      </c>
      <c r="H3" s="2">
        <v>87472567317</v>
      </c>
      <c r="I3" s="1">
        <v>117</v>
      </c>
      <c r="J3" s="1">
        <v>4</v>
      </c>
      <c r="K3" s="2">
        <v>599378619</v>
      </c>
      <c r="L3" s="2">
        <v>395611426</v>
      </c>
      <c r="M3" s="2">
        <v>24843611</v>
      </c>
      <c r="N3" s="2">
        <v>86481192885</v>
      </c>
      <c r="O3" s="1">
        <v>56</v>
      </c>
      <c r="P3" s="1">
        <v>10</v>
      </c>
      <c r="Q3" s="2">
        <v>498403148</v>
      </c>
      <c r="R3" s="2">
        <v>324421816</v>
      </c>
      <c r="S3" s="2">
        <v>17086931</v>
      </c>
      <c r="T3" s="2">
        <v>404114797569</v>
      </c>
      <c r="U3" s="1">
        <v>118</v>
      </c>
      <c r="V3" s="1">
        <v>6</v>
      </c>
      <c r="W3" s="2">
        <v>552839743</v>
      </c>
      <c r="X3" s="2">
        <v>71758164</v>
      </c>
      <c r="Y3" s="2">
        <v>45923146</v>
      </c>
      <c r="Z3" s="2">
        <v>528707226378</v>
      </c>
      <c r="AA3" s="1">
        <v>24</v>
      </c>
      <c r="AB3" s="1">
        <v>10</v>
      </c>
      <c r="AC3" s="2">
        <v>279841223</v>
      </c>
      <c r="AD3" s="2">
        <v>30433461</v>
      </c>
      <c r="AE3" s="2">
        <v>33401082</v>
      </c>
      <c r="AF3" s="2">
        <v>234201267977</v>
      </c>
      <c r="AG3" s="1">
        <v>45</v>
      </c>
      <c r="AH3" s="1">
        <v>4</v>
      </c>
      <c r="AI3" s="2">
        <v>419549887</v>
      </c>
      <c r="AJ3" s="2">
        <v>285177470</v>
      </c>
      <c r="AK3" s="2">
        <v>2843661</v>
      </c>
      <c r="AL3" s="2">
        <v>512880700576</v>
      </c>
      <c r="AM3" s="1">
        <f t="shared" ref="AM3:AM19" si="0">SUM(C3,I3,O3,U3,AA3,AG3)</f>
        <v>402</v>
      </c>
      <c r="AN3" s="1">
        <f t="shared" ref="AN3:AN19" si="1">SUM(D3,J3,P3,V3,AB3,AH3)</f>
        <v>53</v>
      </c>
      <c r="AO3" s="2">
        <f t="shared" ref="AO3:AO19" si="2">SUM(E3,K3,Q3,W3,AC3,AI3)</f>
        <v>2552083784</v>
      </c>
      <c r="AP3" s="2">
        <f t="shared" ref="AP3:AP19" si="3">SUM(F3,L3,R3,X3,AD3,AJ3)</f>
        <v>1294447580</v>
      </c>
      <c r="AQ3" s="2">
        <f t="shared" ref="AQ3:AQ19" si="4">SUM(G3,M3,S3,Y3,AE3,AK3)</f>
        <v>166836596</v>
      </c>
      <c r="AR3" s="2">
        <f t="shared" ref="AR3:AR19" si="5">SUM(H3,N3,T3,Z3,AF3,AL3)</f>
        <v>1853857752702</v>
      </c>
    </row>
    <row r="4" spans="1:44" x14ac:dyDescent="0.3">
      <c r="A4" t="s">
        <v>62</v>
      </c>
      <c r="B4" s="4" t="s">
        <v>14</v>
      </c>
      <c r="C4" s="1">
        <v>91</v>
      </c>
      <c r="D4" s="1">
        <v>20</v>
      </c>
      <c r="E4" s="2">
        <v>32368744</v>
      </c>
      <c r="F4" s="2">
        <v>113124104</v>
      </c>
      <c r="G4" s="2">
        <v>8959843</v>
      </c>
      <c r="H4" s="2">
        <v>570988416495</v>
      </c>
      <c r="I4" s="1">
        <v>77</v>
      </c>
      <c r="J4" s="1">
        <v>19</v>
      </c>
      <c r="K4" s="2">
        <v>679215528</v>
      </c>
      <c r="L4" s="2">
        <v>634548696</v>
      </c>
      <c r="M4" s="2">
        <v>13214761</v>
      </c>
      <c r="N4" s="2">
        <v>641885382944</v>
      </c>
      <c r="O4" s="1">
        <v>47</v>
      </c>
      <c r="P4" s="1">
        <v>19</v>
      </c>
      <c r="Q4" s="2">
        <v>659608697</v>
      </c>
      <c r="R4" s="2">
        <v>122125601</v>
      </c>
      <c r="S4" s="2">
        <v>69400786</v>
      </c>
      <c r="T4" s="2">
        <v>497469658586</v>
      </c>
      <c r="U4" s="1">
        <v>141</v>
      </c>
      <c r="V4" s="1">
        <v>6</v>
      </c>
      <c r="W4" s="2">
        <v>604074748</v>
      </c>
      <c r="X4" s="2">
        <v>175773350</v>
      </c>
      <c r="Y4" s="2">
        <v>67399940</v>
      </c>
      <c r="Z4" s="2">
        <v>263160215166</v>
      </c>
      <c r="AA4" s="1">
        <v>103</v>
      </c>
      <c r="AB4" s="1">
        <v>20</v>
      </c>
      <c r="AC4" s="2">
        <v>692759156</v>
      </c>
      <c r="AD4" s="2">
        <v>236527373</v>
      </c>
      <c r="AE4" s="2">
        <v>51754584</v>
      </c>
      <c r="AF4" s="2">
        <v>527292434404</v>
      </c>
      <c r="AG4" s="1">
        <v>0</v>
      </c>
      <c r="AH4" s="1">
        <v>17</v>
      </c>
      <c r="AI4" s="2">
        <v>459382041</v>
      </c>
      <c r="AJ4" s="2">
        <v>31724541</v>
      </c>
      <c r="AK4" s="2">
        <v>9060556</v>
      </c>
      <c r="AL4" s="2">
        <v>353472348827</v>
      </c>
      <c r="AM4" s="1">
        <f t="shared" si="0"/>
        <v>459</v>
      </c>
      <c r="AN4" s="1">
        <f t="shared" si="1"/>
        <v>101</v>
      </c>
      <c r="AO4" s="2">
        <f t="shared" si="2"/>
        <v>3127408914</v>
      </c>
      <c r="AP4" s="2">
        <f t="shared" si="3"/>
        <v>1313823665</v>
      </c>
      <c r="AQ4" s="2">
        <f t="shared" si="4"/>
        <v>219790470</v>
      </c>
      <c r="AR4" s="2">
        <f t="shared" si="5"/>
        <v>2854268456422</v>
      </c>
    </row>
    <row r="5" spans="1:44" x14ac:dyDescent="0.3">
      <c r="A5" t="s">
        <v>62</v>
      </c>
      <c r="B5" s="4" t="s">
        <v>15</v>
      </c>
      <c r="C5" s="1">
        <v>10</v>
      </c>
      <c r="D5" s="1">
        <v>4</v>
      </c>
      <c r="E5" s="2">
        <v>146085091</v>
      </c>
      <c r="F5" s="2">
        <v>595099089</v>
      </c>
      <c r="G5" s="2">
        <v>1440855</v>
      </c>
      <c r="H5" s="2">
        <v>120173792110</v>
      </c>
      <c r="I5" s="1">
        <v>110</v>
      </c>
      <c r="J5" s="1">
        <v>13</v>
      </c>
      <c r="K5" s="2">
        <v>50207934</v>
      </c>
      <c r="L5" s="2">
        <v>611888338</v>
      </c>
      <c r="M5" s="2">
        <v>38191115</v>
      </c>
      <c r="N5" s="2">
        <v>76346343221</v>
      </c>
      <c r="O5" s="1">
        <v>77</v>
      </c>
      <c r="P5" s="1">
        <v>4</v>
      </c>
      <c r="Q5" s="2">
        <v>84824477</v>
      </c>
      <c r="R5" s="2">
        <v>192946783</v>
      </c>
      <c r="S5" s="2">
        <v>16270081</v>
      </c>
      <c r="T5" s="2">
        <v>220222021676</v>
      </c>
      <c r="U5" s="1">
        <v>46</v>
      </c>
      <c r="V5" s="1">
        <v>4</v>
      </c>
      <c r="W5" s="2">
        <v>514907986</v>
      </c>
      <c r="X5" s="2">
        <v>524238840</v>
      </c>
      <c r="Y5" s="2">
        <v>59954762</v>
      </c>
      <c r="Z5" s="2">
        <v>517005535827</v>
      </c>
      <c r="AA5" s="1">
        <v>136</v>
      </c>
      <c r="AB5" s="1">
        <v>18</v>
      </c>
      <c r="AC5" s="2">
        <v>69439142</v>
      </c>
      <c r="AD5" s="2">
        <v>685267435</v>
      </c>
      <c r="AE5" s="2">
        <v>49453388</v>
      </c>
      <c r="AF5" s="2">
        <v>113209750448</v>
      </c>
      <c r="AG5" s="1">
        <v>63</v>
      </c>
      <c r="AH5" s="1">
        <v>5</v>
      </c>
      <c r="AI5" s="2">
        <v>106209692</v>
      </c>
      <c r="AJ5" s="2">
        <v>127084986</v>
      </c>
      <c r="AK5" s="2">
        <v>65972038</v>
      </c>
      <c r="AL5" s="2">
        <v>199965759347</v>
      </c>
      <c r="AM5" s="1">
        <f t="shared" si="0"/>
        <v>442</v>
      </c>
      <c r="AN5" s="1">
        <f t="shared" si="1"/>
        <v>48</v>
      </c>
      <c r="AO5" s="2">
        <f t="shared" si="2"/>
        <v>971674322</v>
      </c>
      <c r="AP5" s="2">
        <f t="shared" si="3"/>
        <v>2736525471</v>
      </c>
      <c r="AQ5" s="2">
        <f t="shared" si="4"/>
        <v>231282239</v>
      </c>
      <c r="AR5" s="2">
        <f t="shared" si="5"/>
        <v>1246923202629</v>
      </c>
    </row>
    <row r="6" spans="1:44" x14ac:dyDescent="0.3">
      <c r="A6" t="s">
        <v>62</v>
      </c>
      <c r="B6" s="4" t="s">
        <v>16</v>
      </c>
      <c r="C6" s="1">
        <v>72</v>
      </c>
      <c r="D6" s="1">
        <v>20</v>
      </c>
      <c r="E6" s="2">
        <v>590638393</v>
      </c>
      <c r="F6" s="2">
        <v>651593086</v>
      </c>
      <c r="G6" s="2">
        <v>39350865</v>
      </c>
      <c r="H6" s="2">
        <v>7739585382</v>
      </c>
      <c r="I6" s="1">
        <v>114</v>
      </c>
      <c r="J6" s="1">
        <v>5</v>
      </c>
      <c r="K6" s="2">
        <v>545178270</v>
      </c>
      <c r="L6" s="2">
        <v>176219331</v>
      </c>
      <c r="M6" s="2">
        <v>68863426</v>
      </c>
      <c r="N6" s="2">
        <v>130131366474</v>
      </c>
      <c r="O6" s="1">
        <v>121</v>
      </c>
      <c r="P6" s="1">
        <v>7</v>
      </c>
      <c r="Q6" s="2">
        <v>45637697</v>
      </c>
      <c r="R6" s="2">
        <v>252501338</v>
      </c>
      <c r="S6" s="2">
        <v>37677072</v>
      </c>
      <c r="T6" s="2">
        <v>214384676040</v>
      </c>
      <c r="U6" s="1">
        <v>101</v>
      </c>
      <c r="V6" s="1">
        <v>18</v>
      </c>
      <c r="W6" s="2">
        <v>520968711</v>
      </c>
      <c r="X6" s="2">
        <v>108335619</v>
      </c>
      <c r="Y6" s="2">
        <v>11952505</v>
      </c>
      <c r="Z6" s="2">
        <v>49546796449</v>
      </c>
      <c r="AA6" s="1">
        <v>111</v>
      </c>
      <c r="AB6" s="1">
        <v>9</v>
      </c>
      <c r="AC6" s="2">
        <v>677259510</v>
      </c>
      <c r="AD6" s="2">
        <v>9918641</v>
      </c>
      <c r="AE6" s="2">
        <v>58287906</v>
      </c>
      <c r="AF6" s="2">
        <v>585296187975</v>
      </c>
      <c r="AG6" s="1">
        <v>113</v>
      </c>
      <c r="AH6" s="1">
        <v>13</v>
      </c>
      <c r="AI6" s="2">
        <v>627214533</v>
      </c>
      <c r="AJ6" s="2">
        <v>576608014</v>
      </c>
      <c r="AK6" s="2">
        <v>16123672</v>
      </c>
      <c r="AL6" s="2">
        <v>168286950154</v>
      </c>
      <c r="AM6" s="1">
        <f t="shared" si="0"/>
        <v>632</v>
      </c>
      <c r="AN6" s="1">
        <f t="shared" si="1"/>
        <v>72</v>
      </c>
      <c r="AO6" s="2">
        <f t="shared" si="2"/>
        <v>3006897114</v>
      </c>
      <c r="AP6" s="2">
        <f t="shared" si="3"/>
        <v>1775176029</v>
      </c>
      <c r="AQ6" s="2">
        <f t="shared" si="4"/>
        <v>232255446</v>
      </c>
      <c r="AR6" s="2">
        <f t="shared" si="5"/>
        <v>1155385562474</v>
      </c>
    </row>
    <row r="7" spans="1:44" x14ac:dyDescent="0.3">
      <c r="A7" t="s">
        <v>62</v>
      </c>
      <c r="B7" s="4" t="s">
        <v>17</v>
      </c>
      <c r="C7" s="1">
        <v>45</v>
      </c>
      <c r="D7" s="1">
        <v>17</v>
      </c>
      <c r="E7" s="2">
        <v>541707800</v>
      </c>
      <c r="F7" s="2">
        <v>296487966</v>
      </c>
      <c r="G7" s="2">
        <v>40076727</v>
      </c>
      <c r="H7" s="2">
        <v>638466068074</v>
      </c>
      <c r="I7" s="1">
        <v>104</v>
      </c>
      <c r="J7" s="1">
        <v>2</v>
      </c>
      <c r="K7" s="2">
        <v>230961991</v>
      </c>
      <c r="L7" s="2">
        <v>462014227</v>
      </c>
      <c r="M7" s="2">
        <v>57521795</v>
      </c>
      <c r="N7" s="2">
        <v>367517102182</v>
      </c>
      <c r="O7" s="1">
        <v>58</v>
      </c>
      <c r="P7" s="1">
        <v>14</v>
      </c>
      <c r="Q7" s="2">
        <v>188366209</v>
      </c>
      <c r="R7" s="2">
        <v>317144647</v>
      </c>
      <c r="S7" s="2">
        <v>61874129</v>
      </c>
      <c r="T7" s="2">
        <v>417057154136</v>
      </c>
      <c r="U7" s="1">
        <v>23</v>
      </c>
      <c r="V7" s="1">
        <v>0</v>
      </c>
      <c r="W7" s="2">
        <v>657991795</v>
      </c>
      <c r="X7" s="2">
        <v>142139575</v>
      </c>
      <c r="Y7" s="2">
        <v>57480044</v>
      </c>
      <c r="Z7" s="2">
        <v>13128705227</v>
      </c>
      <c r="AA7" s="1">
        <v>84</v>
      </c>
      <c r="AB7" s="1">
        <v>11</v>
      </c>
      <c r="AC7" s="2">
        <v>290571230</v>
      </c>
      <c r="AD7" s="2">
        <v>241867732</v>
      </c>
      <c r="AE7" s="2">
        <v>44142834</v>
      </c>
      <c r="AF7" s="2">
        <v>318273902443</v>
      </c>
      <c r="AG7" s="1">
        <v>24</v>
      </c>
      <c r="AH7" s="1">
        <v>14</v>
      </c>
      <c r="AI7" s="2">
        <v>410073262</v>
      </c>
      <c r="AJ7" s="2">
        <v>574063841</v>
      </c>
      <c r="AK7" s="2">
        <v>59871569</v>
      </c>
      <c r="AL7" s="2">
        <v>64474822482</v>
      </c>
      <c r="AM7" s="1">
        <f t="shared" si="0"/>
        <v>338</v>
      </c>
      <c r="AN7" s="1">
        <f t="shared" si="1"/>
        <v>58</v>
      </c>
      <c r="AO7" s="2">
        <f t="shared" si="2"/>
        <v>2319672287</v>
      </c>
      <c r="AP7" s="2">
        <f t="shared" si="3"/>
        <v>2033717988</v>
      </c>
      <c r="AQ7" s="2">
        <f t="shared" si="4"/>
        <v>320967098</v>
      </c>
      <c r="AR7" s="2">
        <f t="shared" si="5"/>
        <v>1818917754544</v>
      </c>
    </row>
    <row r="8" spans="1:44" x14ac:dyDescent="0.3">
      <c r="A8" t="s">
        <v>62</v>
      </c>
      <c r="B8" s="4" t="s">
        <v>18</v>
      </c>
      <c r="C8" s="1">
        <v>71</v>
      </c>
      <c r="D8" s="1">
        <v>3</v>
      </c>
      <c r="E8" s="2">
        <v>361153202</v>
      </c>
      <c r="F8" s="2">
        <v>154255163</v>
      </c>
      <c r="G8" s="2">
        <v>476696</v>
      </c>
      <c r="H8" s="2">
        <v>242558845091</v>
      </c>
      <c r="I8" s="1">
        <v>69</v>
      </c>
      <c r="J8" s="1">
        <v>10</v>
      </c>
      <c r="K8" s="2">
        <v>153163633</v>
      </c>
      <c r="L8" s="2">
        <v>651572373</v>
      </c>
      <c r="M8" s="2">
        <v>43740552</v>
      </c>
      <c r="N8" s="2">
        <v>512033509274</v>
      </c>
      <c r="O8" s="1">
        <v>33</v>
      </c>
      <c r="P8" s="1">
        <v>5</v>
      </c>
      <c r="Q8" s="2">
        <v>544697569</v>
      </c>
      <c r="R8" s="2">
        <v>478758560</v>
      </c>
      <c r="S8" s="2">
        <v>42165876</v>
      </c>
      <c r="T8" s="2">
        <v>320403879905</v>
      </c>
      <c r="U8" s="1">
        <v>127</v>
      </c>
      <c r="V8" s="1">
        <v>14</v>
      </c>
      <c r="W8" s="2">
        <v>201205589</v>
      </c>
      <c r="X8" s="2">
        <v>666556337</v>
      </c>
      <c r="Y8" s="2">
        <v>4734768</v>
      </c>
      <c r="Z8" s="2">
        <v>471171292389</v>
      </c>
      <c r="AA8" s="1">
        <v>83</v>
      </c>
      <c r="AB8" s="1">
        <v>14</v>
      </c>
      <c r="AC8" s="2">
        <v>911354</v>
      </c>
      <c r="AD8" s="2">
        <v>577668662</v>
      </c>
      <c r="AE8" s="2">
        <v>14006778</v>
      </c>
      <c r="AF8" s="2">
        <v>195779991697</v>
      </c>
      <c r="AG8" s="1">
        <v>7</v>
      </c>
      <c r="AH8" s="1">
        <v>15</v>
      </c>
      <c r="AI8" s="2">
        <v>239045622</v>
      </c>
      <c r="AJ8" s="2">
        <v>249356210</v>
      </c>
      <c r="AK8" s="2">
        <v>36460830</v>
      </c>
      <c r="AL8" s="2">
        <v>68806708426</v>
      </c>
      <c r="AM8" s="1">
        <f t="shared" si="0"/>
        <v>390</v>
      </c>
      <c r="AN8" s="1">
        <f t="shared" si="1"/>
        <v>61</v>
      </c>
      <c r="AO8" s="2">
        <f t="shared" si="2"/>
        <v>1500176969</v>
      </c>
      <c r="AP8" s="2">
        <f t="shared" si="3"/>
        <v>2778167305</v>
      </c>
      <c r="AQ8" s="2">
        <f t="shared" si="4"/>
        <v>141585500</v>
      </c>
      <c r="AR8" s="2">
        <f t="shared" si="5"/>
        <v>1810754226782</v>
      </c>
    </row>
    <row r="9" spans="1:44" x14ac:dyDescent="0.3">
      <c r="A9" t="s">
        <v>62</v>
      </c>
      <c r="B9" s="4" t="s">
        <v>19</v>
      </c>
      <c r="C9" s="1">
        <v>147</v>
      </c>
      <c r="D9" s="1">
        <v>15</v>
      </c>
      <c r="E9" s="2">
        <v>687120830</v>
      </c>
      <c r="F9" s="2">
        <v>689260457</v>
      </c>
      <c r="G9" s="2">
        <v>50763527</v>
      </c>
      <c r="H9" s="2">
        <v>89132706180</v>
      </c>
      <c r="I9" s="1">
        <v>129</v>
      </c>
      <c r="J9" s="1">
        <v>16</v>
      </c>
      <c r="K9" s="2">
        <v>575278988</v>
      </c>
      <c r="L9" s="2">
        <v>181485946</v>
      </c>
      <c r="M9" s="2">
        <v>43659662</v>
      </c>
      <c r="N9" s="2">
        <v>73875866270</v>
      </c>
      <c r="O9" s="1">
        <v>23</v>
      </c>
      <c r="P9" s="1">
        <v>2</v>
      </c>
      <c r="Q9" s="2">
        <v>394161634</v>
      </c>
      <c r="R9" s="2">
        <v>221244959</v>
      </c>
      <c r="S9" s="2">
        <v>54306918</v>
      </c>
      <c r="T9" s="2">
        <v>630938274735</v>
      </c>
      <c r="U9" s="1">
        <v>16</v>
      </c>
      <c r="V9" s="1">
        <v>2</v>
      </c>
      <c r="W9" s="2">
        <v>185273836</v>
      </c>
      <c r="X9" s="2">
        <v>119687565</v>
      </c>
      <c r="Y9" s="2">
        <v>40375898</v>
      </c>
      <c r="Z9" s="2">
        <v>530882224284</v>
      </c>
      <c r="AA9" s="1">
        <v>18</v>
      </c>
      <c r="AB9" s="1">
        <v>2</v>
      </c>
      <c r="AC9" s="2">
        <v>394952573</v>
      </c>
      <c r="AD9" s="2">
        <v>653591653</v>
      </c>
      <c r="AE9" s="2">
        <v>13294707</v>
      </c>
      <c r="AF9" s="2">
        <v>553859940544</v>
      </c>
      <c r="AG9" s="1">
        <v>65</v>
      </c>
      <c r="AH9" s="1">
        <v>3</v>
      </c>
      <c r="AI9" s="2">
        <v>182625040</v>
      </c>
      <c r="AJ9" s="2">
        <v>136528115</v>
      </c>
      <c r="AK9" s="2">
        <v>67860537</v>
      </c>
      <c r="AL9" s="2">
        <v>650185330937</v>
      </c>
      <c r="AM9" s="1">
        <f t="shared" si="0"/>
        <v>398</v>
      </c>
      <c r="AN9" s="1">
        <f t="shared" si="1"/>
        <v>40</v>
      </c>
      <c r="AO9" s="2">
        <f t="shared" si="2"/>
        <v>2419412901</v>
      </c>
      <c r="AP9" s="2">
        <f t="shared" si="3"/>
        <v>2001798695</v>
      </c>
      <c r="AQ9" s="2">
        <f t="shared" si="4"/>
        <v>270261249</v>
      </c>
      <c r="AR9" s="2">
        <f t="shared" si="5"/>
        <v>2528874342950</v>
      </c>
    </row>
    <row r="10" spans="1:44" x14ac:dyDescent="0.3">
      <c r="A10" t="s">
        <v>62</v>
      </c>
      <c r="B10" s="4" t="s">
        <v>65</v>
      </c>
      <c r="C10" s="1">
        <v>92</v>
      </c>
      <c r="D10" s="1">
        <v>8</v>
      </c>
      <c r="E10" s="2">
        <v>279805357</v>
      </c>
      <c r="F10" s="2">
        <v>674457813</v>
      </c>
      <c r="G10" s="2">
        <v>69969864</v>
      </c>
      <c r="H10" s="2">
        <v>151359226637</v>
      </c>
      <c r="I10" s="1">
        <v>2</v>
      </c>
      <c r="J10" s="1">
        <v>15</v>
      </c>
      <c r="K10" s="2">
        <v>135147132</v>
      </c>
      <c r="L10" s="2">
        <v>377015009</v>
      </c>
      <c r="M10" s="2">
        <v>68496549</v>
      </c>
      <c r="N10" s="2">
        <v>609458012325</v>
      </c>
      <c r="O10" s="1">
        <v>119</v>
      </c>
      <c r="P10" s="1">
        <v>1</v>
      </c>
      <c r="Q10" s="2">
        <v>306268228</v>
      </c>
      <c r="R10" s="2">
        <v>596470183</v>
      </c>
      <c r="S10" s="2">
        <v>29507378</v>
      </c>
      <c r="T10" s="2">
        <v>486692133110</v>
      </c>
      <c r="U10" s="1">
        <v>4</v>
      </c>
      <c r="V10" s="1">
        <v>16</v>
      </c>
      <c r="W10" s="2">
        <v>401141507</v>
      </c>
      <c r="X10" s="2">
        <v>540656001</v>
      </c>
      <c r="Y10" s="2">
        <v>22137031</v>
      </c>
      <c r="Z10" s="2">
        <v>70497946608</v>
      </c>
      <c r="AA10" s="1">
        <v>141</v>
      </c>
      <c r="AB10" s="1">
        <v>7</v>
      </c>
      <c r="AC10" s="2">
        <v>272097557</v>
      </c>
      <c r="AD10" s="2">
        <v>166239647</v>
      </c>
      <c r="AE10" s="2">
        <v>6878048</v>
      </c>
      <c r="AF10" s="2">
        <v>127448180729</v>
      </c>
      <c r="AG10" s="1">
        <v>36</v>
      </c>
      <c r="AH10" s="1">
        <v>8</v>
      </c>
      <c r="AI10" s="2">
        <v>97848963</v>
      </c>
      <c r="AJ10" s="2">
        <v>599856853</v>
      </c>
      <c r="AK10" s="2">
        <v>32707870</v>
      </c>
      <c r="AL10" s="2">
        <v>653928640000</v>
      </c>
      <c r="AM10" s="1">
        <f t="shared" si="0"/>
        <v>394</v>
      </c>
      <c r="AN10" s="1">
        <f t="shared" si="1"/>
        <v>55</v>
      </c>
      <c r="AO10" s="2">
        <f t="shared" si="2"/>
        <v>1492308744</v>
      </c>
      <c r="AP10" s="2">
        <f t="shared" si="3"/>
        <v>2954695506</v>
      </c>
      <c r="AQ10" s="2">
        <f t="shared" si="4"/>
        <v>229696740</v>
      </c>
      <c r="AR10" s="2">
        <f t="shared" si="5"/>
        <v>2099384139409</v>
      </c>
    </row>
    <row r="11" spans="1:44" x14ac:dyDescent="0.3">
      <c r="A11" t="s">
        <v>62</v>
      </c>
      <c r="B11" s="4" t="s">
        <v>68</v>
      </c>
      <c r="C11" s="1">
        <v>119</v>
      </c>
      <c r="D11" s="1">
        <v>15</v>
      </c>
      <c r="E11" s="2">
        <v>175390807</v>
      </c>
      <c r="F11" s="2">
        <v>77160048</v>
      </c>
      <c r="G11" s="2">
        <v>50152843</v>
      </c>
      <c r="H11" s="2">
        <v>675066825736</v>
      </c>
      <c r="I11" s="1">
        <v>94</v>
      </c>
      <c r="J11" s="1">
        <v>3</v>
      </c>
      <c r="K11" s="2">
        <v>448384487</v>
      </c>
      <c r="L11" s="2">
        <v>448624375</v>
      </c>
      <c r="M11" s="2">
        <v>17679644</v>
      </c>
      <c r="N11" s="2">
        <v>644996067083</v>
      </c>
      <c r="O11" s="1">
        <v>71</v>
      </c>
      <c r="P11" s="1">
        <v>5</v>
      </c>
      <c r="Q11" s="2">
        <v>577177355</v>
      </c>
      <c r="R11" s="2">
        <v>591504762</v>
      </c>
      <c r="S11" s="2">
        <v>53066887</v>
      </c>
      <c r="T11" s="2">
        <v>228230420389</v>
      </c>
      <c r="U11" s="1">
        <v>38</v>
      </c>
      <c r="V11" s="1">
        <v>18</v>
      </c>
      <c r="W11" s="2">
        <v>514098447</v>
      </c>
      <c r="X11" s="2">
        <v>645347896</v>
      </c>
      <c r="Y11" s="2">
        <v>19788477</v>
      </c>
      <c r="Z11" s="2">
        <v>174061554808</v>
      </c>
      <c r="AA11" s="1">
        <v>10</v>
      </c>
      <c r="AB11" s="1">
        <v>16</v>
      </c>
      <c r="AC11" s="2">
        <v>218490166</v>
      </c>
      <c r="AD11" s="2">
        <v>426900954</v>
      </c>
      <c r="AE11" s="2">
        <v>37057061</v>
      </c>
      <c r="AF11" s="2">
        <v>680722794552</v>
      </c>
      <c r="AG11" s="1">
        <v>86</v>
      </c>
      <c r="AH11" s="1">
        <v>8</v>
      </c>
      <c r="AI11" s="2">
        <v>116646964</v>
      </c>
      <c r="AJ11" s="2">
        <v>427448557</v>
      </c>
      <c r="AK11" s="2">
        <v>36503882</v>
      </c>
      <c r="AL11" s="2">
        <v>18071857198</v>
      </c>
      <c r="AM11" s="1">
        <f t="shared" si="0"/>
        <v>418</v>
      </c>
      <c r="AN11" s="1">
        <f t="shared" si="1"/>
        <v>65</v>
      </c>
      <c r="AO11" s="2">
        <f t="shared" si="2"/>
        <v>2050188226</v>
      </c>
      <c r="AP11" s="2">
        <f t="shared" si="3"/>
        <v>2616986592</v>
      </c>
      <c r="AQ11" s="2">
        <f t="shared" si="4"/>
        <v>214248794</v>
      </c>
      <c r="AR11" s="2">
        <f t="shared" si="5"/>
        <v>2421149519766</v>
      </c>
    </row>
    <row r="12" spans="1:44" x14ac:dyDescent="0.3">
      <c r="A12" t="s">
        <v>62</v>
      </c>
      <c r="B12" s="4" t="s">
        <v>69</v>
      </c>
      <c r="C12" s="1">
        <v>120</v>
      </c>
      <c r="D12" s="1">
        <v>5</v>
      </c>
      <c r="E12" s="2">
        <v>534386991</v>
      </c>
      <c r="F12" s="2">
        <v>97904784</v>
      </c>
      <c r="G12" s="2">
        <v>11144520</v>
      </c>
      <c r="H12" s="2">
        <v>669214244465</v>
      </c>
      <c r="I12" s="1">
        <v>36</v>
      </c>
      <c r="J12" s="1">
        <v>8</v>
      </c>
      <c r="K12" s="2">
        <v>444555271</v>
      </c>
      <c r="L12" s="2">
        <v>136894566</v>
      </c>
      <c r="M12" s="2">
        <v>26099180</v>
      </c>
      <c r="N12" s="2">
        <v>649177965219</v>
      </c>
      <c r="O12" s="1">
        <v>128</v>
      </c>
      <c r="P12" s="1">
        <v>16</v>
      </c>
      <c r="Q12" s="2">
        <v>87924036</v>
      </c>
      <c r="R12" s="2">
        <v>407685776</v>
      </c>
      <c r="S12" s="2">
        <v>34712487</v>
      </c>
      <c r="T12" s="2">
        <v>563976270501</v>
      </c>
      <c r="U12" s="1">
        <v>58</v>
      </c>
      <c r="V12" s="1">
        <v>2</v>
      </c>
      <c r="W12" s="2">
        <v>158443331</v>
      </c>
      <c r="X12" s="2">
        <v>332499725</v>
      </c>
      <c r="Y12" s="2">
        <v>32136546</v>
      </c>
      <c r="Z12" s="2">
        <v>98449682818</v>
      </c>
      <c r="AA12" s="1">
        <v>40</v>
      </c>
      <c r="AB12" s="1">
        <v>7</v>
      </c>
      <c r="AC12" s="2">
        <v>90468144</v>
      </c>
      <c r="AD12" s="2">
        <v>215539842</v>
      </c>
      <c r="AE12" s="2">
        <v>23058187</v>
      </c>
      <c r="AF12" s="2">
        <v>238300558915</v>
      </c>
      <c r="AG12" s="1">
        <v>134</v>
      </c>
      <c r="AH12" s="1">
        <v>0</v>
      </c>
      <c r="AI12" s="2">
        <v>284045694</v>
      </c>
      <c r="AJ12" s="2">
        <v>414893446</v>
      </c>
      <c r="AK12" s="2">
        <v>14310247</v>
      </c>
      <c r="AL12" s="2">
        <v>517873039423</v>
      </c>
      <c r="AM12" s="1">
        <f t="shared" si="0"/>
        <v>516</v>
      </c>
      <c r="AN12" s="1">
        <f t="shared" si="1"/>
        <v>38</v>
      </c>
      <c r="AO12" s="2">
        <f t="shared" si="2"/>
        <v>1599823467</v>
      </c>
      <c r="AP12" s="2">
        <f t="shared" si="3"/>
        <v>1605418139</v>
      </c>
      <c r="AQ12" s="2">
        <f t="shared" si="4"/>
        <v>141461167</v>
      </c>
      <c r="AR12" s="2">
        <f t="shared" si="5"/>
        <v>2736991761341</v>
      </c>
    </row>
    <row r="13" spans="1:44" x14ac:dyDescent="0.3">
      <c r="A13" t="s">
        <v>62</v>
      </c>
      <c r="B13" s="4" t="s">
        <v>20</v>
      </c>
      <c r="C13" s="1">
        <v>30</v>
      </c>
      <c r="D13" s="1">
        <v>3</v>
      </c>
      <c r="E13" s="2">
        <v>166638143</v>
      </c>
      <c r="F13" s="2">
        <v>490878441</v>
      </c>
      <c r="G13" s="2">
        <v>24563709</v>
      </c>
      <c r="H13" s="2">
        <v>533322513236</v>
      </c>
      <c r="I13" s="1">
        <v>96</v>
      </c>
      <c r="J13" s="1">
        <v>5</v>
      </c>
      <c r="K13" s="2">
        <v>488113685</v>
      </c>
      <c r="L13" s="2">
        <v>586856817</v>
      </c>
      <c r="M13" s="2">
        <v>15481053</v>
      </c>
      <c r="N13" s="2">
        <v>475145787712</v>
      </c>
      <c r="O13" s="1">
        <v>69</v>
      </c>
      <c r="P13" s="1">
        <v>17</v>
      </c>
      <c r="Q13" s="2">
        <v>471420920</v>
      </c>
      <c r="R13" s="2">
        <v>386546395</v>
      </c>
      <c r="S13" s="2">
        <v>48155963</v>
      </c>
      <c r="T13" s="2">
        <v>280252909721</v>
      </c>
      <c r="U13" s="1">
        <v>89</v>
      </c>
      <c r="V13" s="1">
        <v>6</v>
      </c>
      <c r="W13" s="2">
        <v>409457069</v>
      </c>
      <c r="X13" s="2">
        <v>419883434</v>
      </c>
      <c r="Y13" s="2">
        <v>43391518</v>
      </c>
      <c r="Z13" s="2">
        <v>597299753061</v>
      </c>
      <c r="AA13" s="1">
        <v>9</v>
      </c>
      <c r="AB13" s="1">
        <v>17</v>
      </c>
      <c r="AC13" s="2">
        <v>270926660</v>
      </c>
      <c r="AD13" s="2">
        <v>121928963</v>
      </c>
      <c r="AE13" s="2">
        <v>12748479</v>
      </c>
      <c r="AF13" s="2">
        <v>630142818257</v>
      </c>
      <c r="AG13" s="1">
        <v>11</v>
      </c>
      <c r="AH13" s="1">
        <v>1</v>
      </c>
      <c r="AI13" s="2">
        <v>286389828</v>
      </c>
      <c r="AJ13" s="2">
        <v>281024924</v>
      </c>
      <c r="AK13" s="2">
        <v>53587020</v>
      </c>
      <c r="AL13" s="2">
        <v>661814756205</v>
      </c>
      <c r="AM13" s="1">
        <f t="shared" si="0"/>
        <v>304</v>
      </c>
      <c r="AN13" s="1">
        <f t="shared" si="1"/>
        <v>49</v>
      </c>
      <c r="AO13" s="2">
        <f t="shared" si="2"/>
        <v>2092946305</v>
      </c>
      <c r="AP13" s="2">
        <f t="shared" si="3"/>
        <v>2287118974</v>
      </c>
      <c r="AQ13" s="2">
        <f t="shared" si="4"/>
        <v>197927742</v>
      </c>
      <c r="AR13" s="2">
        <f t="shared" si="5"/>
        <v>3177978538192</v>
      </c>
    </row>
    <row r="14" spans="1:44" x14ac:dyDescent="0.3">
      <c r="A14" t="s">
        <v>62</v>
      </c>
      <c r="B14" s="4" t="s">
        <v>21</v>
      </c>
      <c r="C14" s="1">
        <v>19</v>
      </c>
      <c r="D14" s="1">
        <v>8</v>
      </c>
      <c r="E14" s="2">
        <v>359642122</v>
      </c>
      <c r="F14" s="2">
        <v>25458681</v>
      </c>
      <c r="G14" s="2">
        <v>56796671</v>
      </c>
      <c r="H14" s="2">
        <v>297089505799</v>
      </c>
      <c r="I14" s="1">
        <v>140</v>
      </c>
      <c r="J14" s="1">
        <v>17</v>
      </c>
      <c r="K14" s="2">
        <v>629595653</v>
      </c>
      <c r="L14" s="2">
        <v>127135684</v>
      </c>
      <c r="M14" s="2">
        <v>64078307</v>
      </c>
      <c r="N14" s="2">
        <v>476230355407</v>
      </c>
      <c r="O14" s="1">
        <v>136</v>
      </c>
      <c r="P14" s="1">
        <v>1</v>
      </c>
      <c r="Q14" s="2">
        <v>240425402</v>
      </c>
      <c r="R14" s="2">
        <v>406595432</v>
      </c>
      <c r="S14" s="2">
        <v>54766429</v>
      </c>
      <c r="T14" s="2">
        <v>339289262478</v>
      </c>
      <c r="U14" s="1">
        <v>44</v>
      </c>
      <c r="V14" s="1">
        <v>16</v>
      </c>
      <c r="W14" s="2">
        <v>319776922</v>
      </c>
      <c r="X14" s="2">
        <v>673824387</v>
      </c>
      <c r="Y14" s="2">
        <v>61867238</v>
      </c>
      <c r="Z14" s="2">
        <v>418243443946</v>
      </c>
      <c r="AA14" s="1">
        <v>145</v>
      </c>
      <c r="AB14" s="1">
        <v>4</v>
      </c>
      <c r="AC14" s="2">
        <v>342301772</v>
      </c>
      <c r="AD14" s="2">
        <v>534563356</v>
      </c>
      <c r="AE14" s="2">
        <v>27657416</v>
      </c>
      <c r="AF14" s="2">
        <v>496779065721</v>
      </c>
      <c r="AG14" s="1">
        <v>6</v>
      </c>
      <c r="AH14" s="1">
        <v>15</v>
      </c>
      <c r="AI14" s="2">
        <v>187394940</v>
      </c>
      <c r="AJ14" s="2">
        <v>576337048</v>
      </c>
      <c r="AK14" s="2">
        <v>17353795</v>
      </c>
      <c r="AL14" s="2">
        <v>21730078676</v>
      </c>
      <c r="AM14" s="1">
        <f t="shared" si="0"/>
        <v>490</v>
      </c>
      <c r="AN14" s="1">
        <f t="shared" si="1"/>
        <v>61</v>
      </c>
      <c r="AO14" s="2">
        <f t="shared" si="2"/>
        <v>2079136811</v>
      </c>
      <c r="AP14" s="2">
        <f t="shared" si="3"/>
        <v>2343914588</v>
      </c>
      <c r="AQ14" s="2">
        <f t="shared" si="4"/>
        <v>282519856</v>
      </c>
      <c r="AR14" s="2">
        <f t="shared" si="5"/>
        <v>2049361712027</v>
      </c>
    </row>
    <row r="15" spans="1:44" x14ac:dyDescent="0.3">
      <c r="A15" t="s">
        <v>62</v>
      </c>
      <c r="B15" s="4" t="s">
        <v>22</v>
      </c>
      <c r="C15" s="1">
        <v>9</v>
      </c>
      <c r="D15" s="1">
        <v>11</v>
      </c>
      <c r="E15" s="2">
        <v>600086723</v>
      </c>
      <c r="F15" s="2">
        <v>222798602</v>
      </c>
      <c r="G15" s="2">
        <v>27001845</v>
      </c>
      <c r="H15" s="2">
        <v>394014087076</v>
      </c>
      <c r="I15" s="1">
        <v>37</v>
      </c>
      <c r="J15" s="1">
        <v>1</v>
      </c>
      <c r="K15" s="2">
        <v>2901901</v>
      </c>
      <c r="L15" s="2">
        <v>433996491</v>
      </c>
      <c r="M15" s="2">
        <v>20802711</v>
      </c>
      <c r="N15" s="2">
        <v>425393589569</v>
      </c>
      <c r="O15" s="1">
        <v>128</v>
      </c>
      <c r="P15" s="1">
        <v>13</v>
      </c>
      <c r="Q15" s="2">
        <v>416914547</v>
      </c>
      <c r="R15" s="2">
        <v>77515316</v>
      </c>
      <c r="S15" s="2">
        <v>51611230</v>
      </c>
      <c r="T15" s="2">
        <v>351895874292</v>
      </c>
      <c r="U15" s="1">
        <v>25</v>
      </c>
      <c r="V15" s="1">
        <v>16</v>
      </c>
      <c r="W15" s="2">
        <v>590153276</v>
      </c>
      <c r="X15" s="2">
        <v>602241054</v>
      </c>
      <c r="Y15" s="2">
        <v>41202995</v>
      </c>
      <c r="Z15" s="2">
        <v>441300941687</v>
      </c>
      <c r="AA15" s="1">
        <v>116</v>
      </c>
      <c r="AB15" s="1">
        <v>14</v>
      </c>
      <c r="AC15" s="2">
        <v>570211265</v>
      </c>
      <c r="AD15" s="2">
        <v>224345841</v>
      </c>
      <c r="AE15" s="2">
        <v>39105415</v>
      </c>
      <c r="AF15" s="2">
        <v>389435126297</v>
      </c>
      <c r="AG15" s="1">
        <v>92</v>
      </c>
      <c r="AH15" s="1">
        <v>14</v>
      </c>
      <c r="AI15" s="2">
        <v>491183098</v>
      </c>
      <c r="AJ15" s="2">
        <v>194673970</v>
      </c>
      <c r="AK15" s="2">
        <v>22777902</v>
      </c>
      <c r="AL15" s="2">
        <v>600119994403</v>
      </c>
      <c r="AM15" s="1">
        <f t="shared" si="0"/>
        <v>407</v>
      </c>
      <c r="AN15" s="1">
        <f t="shared" si="1"/>
        <v>69</v>
      </c>
      <c r="AO15" s="2">
        <f t="shared" si="2"/>
        <v>2671450810</v>
      </c>
      <c r="AP15" s="2">
        <f t="shared" si="3"/>
        <v>1755571274</v>
      </c>
      <c r="AQ15" s="2">
        <f t="shared" si="4"/>
        <v>202502098</v>
      </c>
      <c r="AR15" s="2">
        <f t="shared" si="5"/>
        <v>2602159613324</v>
      </c>
    </row>
    <row r="16" spans="1:44" x14ac:dyDescent="0.3">
      <c r="A16" t="s">
        <v>62</v>
      </c>
      <c r="B16" s="4" t="s">
        <v>23</v>
      </c>
      <c r="C16" s="1">
        <v>32</v>
      </c>
      <c r="D16" s="1">
        <v>5</v>
      </c>
      <c r="E16" s="2">
        <v>638972882</v>
      </c>
      <c r="F16" s="2">
        <v>295438324</v>
      </c>
      <c r="G16" s="2">
        <v>20708604</v>
      </c>
      <c r="H16" s="2">
        <v>261144994630</v>
      </c>
      <c r="I16" s="1">
        <v>95</v>
      </c>
      <c r="J16" s="1">
        <v>13</v>
      </c>
      <c r="K16" s="2">
        <v>105258781</v>
      </c>
      <c r="L16" s="2">
        <v>233240326</v>
      </c>
      <c r="M16" s="2">
        <v>23991978</v>
      </c>
      <c r="N16" s="2">
        <v>527767168213</v>
      </c>
      <c r="O16" s="1">
        <v>10</v>
      </c>
      <c r="P16" s="1">
        <v>15</v>
      </c>
      <c r="Q16" s="2">
        <v>432688601</v>
      </c>
      <c r="R16" s="2">
        <v>13702979</v>
      </c>
      <c r="S16" s="2">
        <v>29033345</v>
      </c>
      <c r="T16" s="2">
        <v>640526673120</v>
      </c>
      <c r="U16" s="1">
        <v>96</v>
      </c>
      <c r="V16" s="1">
        <v>15</v>
      </c>
      <c r="W16" s="2">
        <v>163997047</v>
      </c>
      <c r="X16" s="2">
        <v>443623129</v>
      </c>
      <c r="Y16" s="2">
        <v>53295476</v>
      </c>
      <c r="Z16" s="2">
        <v>607992823219</v>
      </c>
      <c r="AA16" s="1">
        <v>44</v>
      </c>
      <c r="AB16" s="1">
        <v>11</v>
      </c>
      <c r="AC16" s="2">
        <v>190820649</v>
      </c>
      <c r="AD16" s="2">
        <v>398223048</v>
      </c>
      <c r="AE16" s="2">
        <v>36963449</v>
      </c>
      <c r="AF16" s="2">
        <v>529999337261</v>
      </c>
      <c r="AG16" s="1">
        <v>72</v>
      </c>
      <c r="AH16" s="1">
        <v>5</v>
      </c>
      <c r="AI16" s="2">
        <v>455162839</v>
      </c>
      <c r="AJ16" s="2">
        <v>149896095</v>
      </c>
      <c r="AK16" s="2">
        <v>29057048</v>
      </c>
      <c r="AL16" s="2">
        <v>352719493825</v>
      </c>
      <c r="AM16" s="1">
        <f t="shared" si="0"/>
        <v>349</v>
      </c>
      <c r="AN16" s="1">
        <f t="shared" si="1"/>
        <v>64</v>
      </c>
      <c r="AO16" s="2">
        <f t="shared" si="2"/>
        <v>1986900799</v>
      </c>
      <c r="AP16" s="2">
        <f t="shared" si="3"/>
        <v>1534123901</v>
      </c>
      <c r="AQ16" s="2">
        <f t="shared" si="4"/>
        <v>193049900</v>
      </c>
      <c r="AR16" s="2">
        <f t="shared" si="5"/>
        <v>2920150490268</v>
      </c>
    </row>
    <row r="17" spans="1:44" x14ac:dyDescent="0.3">
      <c r="A17" t="s">
        <v>62</v>
      </c>
      <c r="B17" s="4" t="s">
        <v>24</v>
      </c>
      <c r="C17" s="1">
        <v>135</v>
      </c>
      <c r="D17" s="1">
        <v>18</v>
      </c>
      <c r="E17" s="2">
        <v>391573641</v>
      </c>
      <c r="F17" s="2">
        <v>21395534</v>
      </c>
      <c r="G17" s="2">
        <v>13037336</v>
      </c>
      <c r="H17" s="2">
        <v>604938128129</v>
      </c>
      <c r="I17" s="1">
        <v>97</v>
      </c>
      <c r="J17" s="1">
        <v>7</v>
      </c>
      <c r="K17" s="2">
        <v>345355872</v>
      </c>
      <c r="L17" s="2">
        <v>531412673</v>
      </c>
      <c r="M17" s="2">
        <v>36903364</v>
      </c>
      <c r="N17" s="2">
        <v>30815068821</v>
      </c>
      <c r="O17" s="1">
        <v>31</v>
      </c>
      <c r="P17" s="1">
        <v>19</v>
      </c>
      <c r="Q17" s="2">
        <v>312093798</v>
      </c>
      <c r="R17" s="2">
        <v>641133812</v>
      </c>
      <c r="S17" s="2">
        <v>23125786</v>
      </c>
      <c r="T17" s="2">
        <v>580969220053</v>
      </c>
      <c r="U17" s="1">
        <v>58</v>
      </c>
      <c r="V17" s="1">
        <v>10</v>
      </c>
      <c r="W17" s="2">
        <v>549488039</v>
      </c>
      <c r="X17" s="2">
        <v>13536712</v>
      </c>
      <c r="Y17" s="2">
        <v>19544262</v>
      </c>
      <c r="Z17" s="2">
        <v>464592877132</v>
      </c>
      <c r="AA17" s="1">
        <v>82</v>
      </c>
      <c r="AB17" s="1">
        <v>15</v>
      </c>
      <c r="AC17" s="2">
        <v>50885906</v>
      </c>
      <c r="AD17" s="2">
        <v>9268830</v>
      </c>
      <c r="AE17" s="2">
        <v>23865819</v>
      </c>
      <c r="AF17" s="2">
        <v>670273221198</v>
      </c>
      <c r="AG17" s="1">
        <v>86</v>
      </c>
      <c r="AH17" s="1">
        <v>10</v>
      </c>
      <c r="AI17" s="2">
        <v>359696500</v>
      </c>
      <c r="AJ17" s="2">
        <v>99298192</v>
      </c>
      <c r="AK17" s="2">
        <v>23401083</v>
      </c>
      <c r="AL17" s="2">
        <v>407062471075</v>
      </c>
      <c r="AM17" s="1">
        <f t="shared" si="0"/>
        <v>489</v>
      </c>
      <c r="AN17" s="1">
        <f t="shared" si="1"/>
        <v>79</v>
      </c>
      <c r="AO17" s="2">
        <f t="shared" si="2"/>
        <v>2009093756</v>
      </c>
      <c r="AP17" s="2">
        <f t="shared" si="3"/>
        <v>1316045753</v>
      </c>
      <c r="AQ17" s="2">
        <f t="shared" si="4"/>
        <v>139877650</v>
      </c>
      <c r="AR17" s="2">
        <f t="shared" si="5"/>
        <v>2758650986408</v>
      </c>
    </row>
    <row r="18" spans="1:44" x14ac:dyDescent="0.3">
      <c r="A18" t="s">
        <v>62</v>
      </c>
      <c r="B18" s="4" t="s">
        <v>25</v>
      </c>
      <c r="C18" s="1">
        <v>128</v>
      </c>
      <c r="D18" s="1">
        <v>1</v>
      </c>
      <c r="E18" s="2">
        <v>386783955</v>
      </c>
      <c r="F18" s="2">
        <v>445721706</v>
      </c>
      <c r="G18" s="2">
        <v>64357791</v>
      </c>
      <c r="H18" s="2">
        <v>421857680975</v>
      </c>
      <c r="I18" s="1">
        <v>94</v>
      </c>
      <c r="J18" s="1">
        <v>8</v>
      </c>
      <c r="K18" s="2">
        <v>566430457</v>
      </c>
      <c r="L18" s="2">
        <v>571851551</v>
      </c>
      <c r="M18" s="2">
        <v>51500467</v>
      </c>
      <c r="N18" s="2">
        <v>614227573476</v>
      </c>
      <c r="O18" s="1">
        <v>104</v>
      </c>
      <c r="P18" s="1">
        <v>1</v>
      </c>
      <c r="Q18" s="2">
        <v>605102428</v>
      </c>
      <c r="R18" s="2">
        <v>398589245</v>
      </c>
      <c r="S18" s="2">
        <v>44833791</v>
      </c>
      <c r="T18" s="2">
        <v>317300770748</v>
      </c>
      <c r="U18" s="1">
        <v>28</v>
      </c>
      <c r="V18" s="1">
        <v>2</v>
      </c>
      <c r="W18" s="2">
        <v>5643572</v>
      </c>
      <c r="X18" s="2">
        <v>349465543</v>
      </c>
      <c r="Y18" s="2">
        <v>61213691</v>
      </c>
      <c r="Z18" s="2">
        <v>577311788746</v>
      </c>
      <c r="AA18" s="1">
        <v>104</v>
      </c>
      <c r="AB18" s="1">
        <v>14</v>
      </c>
      <c r="AC18" s="2">
        <v>551130320</v>
      </c>
      <c r="AD18" s="2">
        <v>347141718</v>
      </c>
      <c r="AE18" s="2">
        <v>57918434</v>
      </c>
      <c r="AF18" s="2">
        <v>199715222541</v>
      </c>
      <c r="AG18" s="1">
        <v>131</v>
      </c>
      <c r="AH18" s="1">
        <v>11</v>
      </c>
      <c r="AI18" s="2">
        <v>405473020</v>
      </c>
      <c r="AJ18" s="2">
        <v>119557020</v>
      </c>
      <c r="AK18" s="2">
        <v>31604736</v>
      </c>
      <c r="AL18" s="2">
        <v>690361730910</v>
      </c>
      <c r="AM18" s="1">
        <f t="shared" si="0"/>
        <v>589</v>
      </c>
      <c r="AN18" s="1">
        <f t="shared" si="1"/>
        <v>37</v>
      </c>
      <c r="AO18" s="2">
        <f t="shared" si="2"/>
        <v>2520563752</v>
      </c>
      <c r="AP18" s="2">
        <f t="shared" si="3"/>
        <v>2232326783</v>
      </c>
      <c r="AQ18" s="2">
        <f t="shared" si="4"/>
        <v>311428910</v>
      </c>
      <c r="AR18" s="2">
        <f t="shared" si="5"/>
        <v>2820774767396</v>
      </c>
    </row>
    <row r="19" spans="1:44" x14ac:dyDescent="0.3">
      <c r="A19" t="s">
        <v>62</v>
      </c>
      <c r="B19" s="4" t="s">
        <v>26</v>
      </c>
      <c r="C19" s="1">
        <v>101</v>
      </c>
      <c r="D19" s="1">
        <v>10</v>
      </c>
      <c r="E19" s="2">
        <v>490544545</v>
      </c>
      <c r="F19" s="2">
        <v>589121842</v>
      </c>
      <c r="G19" s="2">
        <v>19558627</v>
      </c>
      <c r="H19" s="2">
        <v>143690299802</v>
      </c>
      <c r="I19" s="1">
        <v>27</v>
      </c>
      <c r="J19" s="1">
        <v>0</v>
      </c>
      <c r="K19" s="2">
        <v>510775613</v>
      </c>
      <c r="L19" s="2">
        <v>384711114</v>
      </c>
      <c r="M19" s="2">
        <v>68856701</v>
      </c>
      <c r="N19" s="2">
        <v>482828620922</v>
      </c>
      <c r="O19" s="1">
        <v>21</v>
      </c>
      <c r="P19" s="1">
        <v>18</v>
      </c>
      <c r="Q19" s="2">
        <v>432262398</v>
      </c>
      <c r="R19" s="2">
        <v>424179975</v>
      </c>
      <c r="S19" s="2">
        <v>65713315</v>
      </c>
      <c r="T19" s="2">
        <v>529791980944</v>
      </c>
      <c r="U19" s="1">
        <v>130</v>
      </c>
      <c r="V19" s="1">
        <v>18</v>
      </c>
      <c r="W19" s="2">
        <v>456648553</v>
      </c>
      <c r="X19" s="2">
        <v>433802325</v>
      </c>
      <c r="Y19" s="2">
        <v>10038877</v>
      </c>
      <c r="Z19" s="2">
        <v>537404322980</v>
      </c>
      <c r="AA19" s="1">
        <v>20</v>
      </c>
      <c r="AB19" s="1">
        <v>2</v>
      </c>
      <c r="AC19" s="2">
        <v>645713675</v>
      </c>
      <c r="AD19" s="2">
        <v>394253430</v>
      </c>
      <c r="AE19" s="2">
        <v>49851911</v>
      </c>
      <c r="AF19" s="2">
        <v>252545433586</v>
      </c>
      <c r="AG19" s="1">
        <v>49</v>
      </c>
      <c r="AH19" s="1">
        <v>13</v>
      </c>
      <c r="AI19" s="2">
        <v>328345035</v>
      </c>
      <c r="AJ19" s="2">
        <v>638111859</v>
      </c>
      <c r="AK19" s="2">
        <v>29538432</v>
      </c>
      <c r="AL19" s="2">
        <v>218448877135</v>
      </c>
      <c r="AM19" s="1">
        <f t="shared" si="0"/>
        <v>348</v>
      </c>
      <c r="AN19" s="1">
        <f t="shared" si="1"/>
        <v>61</v>
      </c>
      <c r="AO19" s="2">
        <f t="shared" si="2"/>
        <v>2864289819</v>
      </c>
      <c r="AP19" s="2">
        <f t="shared" si="3"/>
        <v>2864180545</v>
      </c>
      <c r="AQ19" s="2">
        <f t="shared" si="4"/>
        <v>243557863</v>
      </c>
      <c r="AR19" s="2">
        <f t="shared" si="5"/>
        <v>2164709535369</v>
      </c>
    </row>
  </sheetData>
  <mergeCells count="7">
    <mergeCell ref="AM1:AR1"/>
    <mergeCell ref="C1:H1"/>
    <mergeCell ref="O1:T1"/>
    <mergeCell ref="AA1:AF1"/>
    <mergeCell ref="I1:N1"/>
    <mergeCell ref="AG1:AL1"/>
    <mergeCell ref="U1:Z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"/>
  <sheetViews>
    <sheetView workbookViewId="0">
      <pane ySplit="1" topLeftCell="A2" activePane="bottomLeft" state="frozen"/>
      <selection pane="bottomLeft" activeCell="A2" sqref="A2"/>
    </sheetView>
  </sheetViews>
  <sheetFormatPr defaultRowHeight="16.5" x14ac:dyDescent="0.3"/>
  <cols>
    <col min="4" max="4" width="9" style="3"/>
    <col min="9" max="10" width="9" style="5"/>
    <col min="11" max="12" width="9" style="2"/>
  </cols>
  <sheetData>
    <row r="1" spans="1:17" s="3" customFormat="1" x14ac:dyDescent="0.3">
      <c r="A1" s="3" t="s">
        <v>27</v>
      </c>
      <c r="B1" s="3" t="s">
        <v>29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</row>
    <row r="2" spans="1:17" x14ac:dyDescent="0.3">
      <c r="A2" t="s">
        <v>45</v>
      </c>
      <c r="B2" t="s">
        <v>46</v>
      </c>
      <c r="C2" t="s">
        <v>47</v>
      </c>
      <c r="D2" s="3">
        <v>9270000000</v>
      </c>
      <c r="E2" t="s">
        <v>48</v>
      </c>
      <c r="F2" t="s">
        <v>49</v>
      </c>
      <c r="G2" t="s">
        <v>50</v>
      </c>
      <c r="I2" s="5">
        <v>37.561996953143499</v>
      </c>
      <c r="J2" s="5">
        <v>127.018432617187</v>
      </c>
      <c r="K2" s="2">
        <v>6</v>
      </c>
      <c r="L2" s="2">
        <v>1</v>
      </c>
    </row>
    <row r="3" spans="1:17" x14ac:dyDescent="0.3">
      <c r="A3" t="s">
        <v>45</v>
      </c>
      <c r="B3" t="s">
        <v>46</v>
      </c>
      <c r="C3" t="s">
        <v>47</v>
      </c>
      <c r="D3" s="3">
        <v>9270000001</v>
      </c>
      <c r="E3" t="s">
        <v>51</v>
      </c>
      <c r="F3" t="s">
        <v>52</v>
      </c>
      <c r="G3" t="s">
        <v>53</v>
      </c>
      <c r="I3" s="5">
        <v>37.2827946491104</v>
      </c>
      <c r="J3" s="5">
        <v>127.452392578125</v>
      </c>
      <c r="K3" s="2">
        <v>7</v>
      </c>
      <c r="L3" s="2">
        <v>2</v>
      </c>
      <c r="Q3" t="s">
        <v>4</v>
      </c>
    </row>
    <row r="4" spans="1:17" x14ac:dyDescent="0.3">
      <c r="A4" t="s">
        <v>45</v>
      </c>
      <c r="B4" t="s">
        <v>46</v>
      </c>
      <c r="C4" t="s">
        <v>47</v>
      </c>
      <c r="D4" s="3">
        <v>9270000005</v>
      </c>
      <c r="E4" t="s">
        <v>54</v>
      </c>
      <c r="F4" t="s">
        <v>55</v>
      </c>
      <c r="G4" t="s">
        <v>53</v>
      </c>
      <c r="I4" s="5">
        <v>37.705553487215802</v>
      </c>
      <c r="J4" s="5">
        <v>127.353515625</v>
      </c>
      <c r="K4" s="2">
        <v>8</v>
      </c>
      <c r="L4" s="2">
        <v>3</v>
      </c>
      <c r="M4" t="s">
        <v>0</v>
      </c>
      <c r="N4" t="s">
        <v>1</v>
      </c>
      <c r="P4" t="s">
        <v>3</v>
      </c>
    </row>
    <row r="5" spans="1:17" x14ac:dyDescent="0.3">
      <c r="A5" t="s">
        <v>45</v>
      </c>
      <c r="B5" t="s">
        <v>46</v>
      </c>
      <c r="C5" t="s">
        <v>47</v>
      </c>
      <c r="D5" s="3">
        <v>9270000006</v>
      </c>
      <c r="E5" t="s">
        <v>56</v>
      </c>
      <c r="F5" t="s">
        <v>52</v>
      </c>
      <c r="G5" t="s">
        <v>50</v>
      </c>
      <c r="I5" s="5">
        <v>36.927938997766702</v>
      </c>
      <c r="J5" s="5">
        <v>127.985229492187</v>
      </c>
      <c r="K5" s="2">
        <v>9</v>
      </c>
      <c r="L5" s="2">
        <v>4</v>
      </c>
      <c r="N5" t="s">
        <v>59</v>
      </c>
    </row>
    <row r="6" spans="1:17" x14ac:dyDescent="0.3">
      <c r="A6" t="s">
        <v>45</v>
      </c>
      <c r="B6" t="s">
        <v>57</v>
      </c>
      <c r="C6" t="s">
        <v>47</v>
      </c>
      <c r="D6" s="3">
        <v>9270000007</v>
      </c>
      <c r="E6" t="s">
        <v>58</v>
      </c>
      <c r="F6" t="s">
        <v>52</v>
      </c>
      <c r="G6" t="s">
        <v>53</v>
      </c>
      <c r="I6" s="5">
        <v>36.774092494641899</v>
      </c>
      <c r="J6" s="5">
        <v>139.74609375</v>
      </c>
      <c r="K6" s="2">
        <v>10</v>
      </c>
      <c r="L6" s="2">
        <v>5</v>
      </c>
      <c r="N6" t="s">
        <v>59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"/>
  <sheetViews>
    <sheetView workbookViewId="0">
      <pane ySplit="1" topLeftCell="A2" activePane="bottomLeft" state="frozen"/>
      <selection pane="bottomLeft" activeCell="A2" sqref="A2"/>
    </sheetView>
  </sheetViews>
  <sheetFormatPr defaultRowHeight="16.5" x14ac:dyDescent="0.3"/>
  <sheetData>
    <row r="1" spans="1:4" x14ac:dyDescent="0.3">
      <c r="A1" t="s">
        <v>28</v>
      </c>
      <c r="B1" t="s">
        <v>60</v>
      </c>
      <c r="C1" t="s">
        <v>63</v>
      </c>
      <c r="D1" t="s">
        <v>64</v>
      </c>
    </row>
    <row r="2" spans="1:4" x14ac:dyDescent="0.3">
      <c r="A2" t="s">
        <v>62</v>
      </c>
      <c r="B2" t="s">
        <v>65</v>
      </c>
      <c r="C2" t="s">
        <v>67</v>
      </c>
      <c r="D2" t="s">
        <v>43</v>
      </c>
    </row>
    <row r="3" spans="1:4" x14ac:dyDescent="0.3">
      <c r="A3" t="s">
        <v>62</v>
      </c>
      <c r="B3" t="s">
        <v>65</v>
      </c>
      <c r="C3" t="s">
        <v>66</v>
      </c>
      <c r="D3" t="s">
        <v>43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Region Vertical Overview</vt:lpstr>
      <vt:lpstr>Dealer List</vt:lpstr>
      <vt:lpstr>Key Account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Yongjun Kim</dc:creator>
  <cp:lastModifiedBy>Yongjun Kim</cp:lastModifiedBy>
  <dcterms:created xsi:type="dcterms:W3CDTF">2026-03-05T09:06:03Z</dcterms:created>
  <dcterms:modified xsi:type="dcterms:W3CDTF">2026-03-05T15:21:59Z</dcterms:modified>
</cp:coreProperties>
</file>